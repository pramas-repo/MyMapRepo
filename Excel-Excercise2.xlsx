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4.xml" ContentType="application/vnd.openxmlformats-officedocument.spreadsheetml.work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 activeTab="2"/>
  </bookViews>
  <sheets>
    <sheet name="Sheet1" sheetId="1" r:id="rId1"/>
    <sheet name="Sheet2" sheetId="3" r:id="rId2"/>
    <sheet name="Sheet3" sheetId="8" r:id="rId3"/>
    <sheet name="Pie1" sheetId="11" r:id="rId4"/>
    <sheet name="Doughnut1" sheetId="13" r:id="rId5"/>
    <sheet name="Sheet4" sheetId="10" r:id="rId6"/>
    <sheet name="Bar1" sheetId="6" r:id="rId7"/>
    <sheet name="Bar2" sheetId="7" r:id="rId8"/>
    <sheet name="Line1" sheetId="9" r:id="rId9"/>
    <sheet name="Sheet6" sheetId="12" r:id="rId10"/>
  </sheets>
  <calcPr calcId="144525"/>
  <fileRecoveryPr repairLoad="1"/>
</workbook>
</file>

<file path=xl/calcChain.xml><?xml version="1.0" encoding="utf-8"?>
<calcChain xmlns="http://schemas.openxmlformats.org/spreadsheetml/2006/main">
  <c r="H11" i="10" l="1"/>
  <c r="F13" i="3"/>
  <c r="F12" i="3"/>
  <c r="F11" i="3"/>
  <c r="F10" i="3"/>
  <c r="F9" i="3"/>
  <c r="F8" i="3"/>
  <c r="J8" i="1"/>
  <c r="J7" i="1"/>
  <c r="F18" i="1"/>
  <c r="F17" i="1"/>
  <c r="F16" i="1"/>
  <c r="F9" i="1"/>
  <c r="F10" i="1"/>
  <c r="J13" i="1" s="1"/>
  <c r="F11" i="1"/>
  <c r="F12" i="1"/>
  <c r="F13" i="1"/>
  <c r="F8" i="1"/>
  <c r="J10" i="1"/>
</calcChain>
</file>

<file path=xl/sharedStrings.xml><?xml version="1.0" encoding="utf-8"?>
<sst xmlns="http://schemas.openxmlformats.org/spreadsheetml/2006/main" count="81" uniqueCount="59">
  <si>
    <t>Pno</t>
  </si>
  <si>
    <t>Name</t>
  </si>
  <si>
    <t>Total</t>
  </si>
  <si>
    <t>Region</t>
  </si>
  <si>
    <t>Keyboard</t>
  </si>
  <si>
    <t>Mouse</t>
  </si>
  <si>
    <t>Laptop</t>
  </si>
  <si>
    <t>Printer</t>
  </si>
  <si>
    <t>North</t>
  </si>
  <si>
    <t>South</t>
  </si>
  <si>
    <t>East</t>
  </si>
  <si>
    <t>sumifs()</t>
  </si>
  <si>
    <t>countifs()</t>
  </si>
  <si>
    <t>averageifs()</t>
  </si>
  <si>
    <t>Advanced Excel Functions</t>
  </si>
  <si>
    <t>Unit Price</t>
  </si>
  <si>
    <t>Quantity</t>
  </si>
  <si>
    <t>Total Amout</t>
  </si>
  <si>
    <t>Tot Count</t>
  </si>
  <si>
    <t xml:space="preserve">Average </t>
  </si>
  <si>
    <t>=sum()</t>
  </si>
  <si>
    <t>=count()</t>
  </si>
  <si>
    <t>=average()</t>
  </si>
  <si>
    <t>=SUMIFS(F8:F13, C8:C13, "Printer", G8:G13, "East")</t>
  </si>
  <si>
    <t xml:space="preserve">-sumifs() </t>
  </si>
  <si>
    <t>first column for total sales</t>
  </si>
  <si>
    <t>second column for product list</t>
  </si>
  <si>
    <t>item name whose total to sum</t>
  </si>
  <si>
    <t xml:space="preserve">third column is the region </t>
  </si>
  <si>
    <t>name of region</t>
  </si>
  <si>
    <t>=COUNTIFS(C8:C13, "Printer", G8:G13, "East")</t>
  </si>
  <si>
    <t>=AVERAGEIFS(F8:F13, C8:C13, "Printer", G8:G13, "East")</t>
  </si>
  <si>
    <t>Product Name</t>
  </si>
  <si>
    <t>Powerbank</t>
  </si>
  <si>
    <t>Month</t>
  </si>
  <si>
    <t>Visitors</t>
  </si>
  <si>
    <t>Jan</t>
  </si>
  <si>
    <t>Feb</t>
  </si>
  <si>
    <t>Mar</t>
  </si>
  <si>
    <t>Apr</t>
  </si>
  <si>
    <t xml:space="preserve"> </t>
  </si>
  <si>
    <t>Netflix</t>
  </si>
  <si>
    <t>Amazon Prime</t>
  </si>
  <si>
    <t xml:space="preserve">Hotstar </t>
  </si>
  <si>
    <t xml:space="preserve">Ott           </t>
  </si>
  <si>
    <t>Share</t>
  </si>
  <si>
    <t>Type</t>
  </si>
  <si>
    <t>Expenses</t>
  </si>
  <si>
    <t>Rent</t>
  </si>
  <si>
    <t>Groceries</t>
  </si>
  <si>
    <t>Travel</t>
  </si>
  <si>
    <t>Others</t>
  </si>
  <si>
    <t>Year</t>
  </si>
  <si>
    <t>Revenue</t>
  </si>
  <si>
    <t>2020</t>
  </si>
  <si>
    <t>2021</t>
  </si>
  <si>
    <t>2022</t>
  </si>
  <si>
    <t>Hours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</si>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</sst>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quotePrefix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quotePrefix="1" applyBorder="1"/>
    <xf numFmtId="3" fontId="0" fillId="0" borderId="0" xfId="0" applyNumberFormat="1"/>
    <xf numFmtId="9" fontId="0" fillId="0" borderId="0" xfId="0" applyNumberFormat="1"/>
    <xf numFmtId="2" fontId="0" fillId="0" borderId="0" xfId="0" applyNumberFormat="1"/>
    <xf numFmtId="0" fontId="0" fillId="0" borderId="0" xfId="0" applyNumberFormat="1"/>
    <xf numFmtId="0" fontId="2" fillId="2" borderId="1" xfId="0" applyFont="1" applyFill="1" applyBorder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theme" Target="theme/theme1.xml"/><Relationship Id="rId5" Type="http://schemas.openxmlformats.org/officeDocument/2006/relationships/chartsheet" Target="chartsheets/sheet2.xml"/><Relationship Id="rId10" Type="http://schemas.openxmlformats.org/officeDocument/2006/relationships/worksheet" Target="worksheets/sheet5.xml"/><Relationship Id="rId4" Type="http://schemas.openxmlformats.org/officeDocument/2006/relationships/chartsheet" Target="chartsheets/sheet1.xml"/><Relationship Id="rId9" Type="http://schemas.openxmlformats.org/officeDocument/2006/relationships/chartsheet" Target="chartsheets/sheet5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Sheet3!$D$3</c:f>
              <c:strCache>
                <c:ptCount val="1"/>
                <c:pt idx="0">
                  <c:v>Visitors</c:v>
                </c:pt>
              </c:strCache>
            </c:strRef>
          </c:tx>
          <c:cat>
            <c:strRef>
              <c:f>Sheet3!$C$4:$C$7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Sheet3!$D$4:$D$7</c:f>
              <c:numCache>
                <c:formatCode>#,##0</c:formatCode>
                <c:ptCount val="4"/>
                <c:pt idx="0">
                  <c:v>10000</c:v>
                </c:pt>
                <c:pt idx="1">
                  <c:v>12500</c:v>
                </c:pt>
                <c:pt idx="2">
                  <c:v>14000</c:v>
                </c:pt>
                <c:pt idx="3">
                  <c:v>15000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89792"/>
        <c:axId val="41891328"/>
      </c:lineChart>
      <c:catAx>
        <c:axId val="41889792"/>
        <c:scaling>
          <c:orientation val="minMax"/>
        </c:scaling>
        <c:delete val="0"/>
        <c:axPos val="b"/>
        <c:majorTickMark val="out"/>
        <c:minorTickMark val="none"/>
        <c:tickLblPos val="nextTo"/>
        <c:crossAx val="41891328"/>
        <c:crosses val="autoZero"/>
        <c:auto val="1"/>
        <c:lblAlgn val="ctr"/>
        <c:lblOffset val="100"/>
        <c:noMultiLvlLbl val="0"/>
      </c:catAx>
      <c:valAx>
        <c:axId val="4189132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41889792"/>
        <c:crosses val="autoZero"/>
        <c:crossBetween val="between"/>
      </c:valAx>
    </c:plotArea>
    <c:legend>
      <c:legendPos val="r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5"/>
    </mc:Choice>
    <mc:Fallback>
      <c:style val="45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Sheet4!$D$4</c:f>
              <c:strCache>
                <c:ptCount val="1"/>
                <c:pt idx="0">
                  <c:v>Share</c:v>
                </c:pt>
              </c:strCache>
            </c:strRef>
          </c:tx>
          <c:explosion val="38"/>
          <c:dPt>
            <c:idx val="0"/>
            <c:bubble3D val="0"/>
            <c:explosion val="0"/>
          </c:dPt>
          <c:dPt>
            <c:idx val="1"/>
            <c:bubble3D val="0"/>
            <c:explosion val="0"/>
          </c:dPt>
          <c:dPt>
            <c:idx val="2"/>
            <c:bubble3D val="0"/>
            <c:explosion val="0"/>
          </c:dPt>
          <c:dLbls>
            <c:showLegendKey val="0"/>
            <c:showVal val="1"/>
            <c:showCatName val="1"/>
            <c:showSerName val="0"/>
            <c:showPercent val="0"/>
            <c:showBubbleSize val="0"/>
            <c:showLeaderLines val="1"/>
          </c:dLbls>
          <c:cat>
            <c:strRef>
              <c:f>Sheet4!$C$5:$C$7</c:f>
              <c:strCache>
                <c:ptCount val="3"/>
                <c:pt idx="0">
                  <c:v>Netflix</c:v>
                </c:pt>
                <c:pt idx="1">
                  <c:v>Amazon Prime</c:v>
                </c:pt>
                <c:pt idx="2">
                  <c:v>Hotstar </c:v>
                </c:pt>
              </c:strCache>
            </c:strRef>
          </c:cat>
          <c:val>
            <c:numRef>
              <c:f>Sheet4!$D$5:$D$7</c:f>
              <c:numCache>
                <c:formatCode>0.00</c:formatCode>
                <c:ptCount val="3"/>
                <c:pt idx="0">
                  <c:v>40</c:v>
                </c:pt>
                <c:pt idx="1">
                  <c:v>35</c:v>
                </c:pt>
                <c:pt idx="2">
                  <c:v>25</c:v>
                </c:pt>
              </c:numCache>
            </c:numRef>
          </c:val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6"/>
    </mc:Choice>
    <mc:Fallback>
      <c:style val="4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Doughnut Chart on Monthly Expenses</a:t>
            </a:r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Sheet4!$H$4</c:f>
              <c:strCache>
                <c:ptCount val="1"/>
                <c:pt idx="0">
                  <c:v>Expenses</c:v>
                </c:pt>
              </c:strCache>
            </c:strRef>
          </c:tx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Sheet4!$G$5:$G$8</c:f>
              <c:strCache>
                <c:ptCount val="4"/>
                <c:pt idx="0">
                  <c:v>Rent</c:v>
                </c:pt>
                <c:pt idx="1">
                  <c:v>Groceries</c:v>
                </c:pt>
                <c:pt idx="2">
                  <c:v>Travel</c:v>
                </c:pt>
                <c:pt idx="3">
                  <c:v>Others</c:v>
                </c:pt>
              </c:strCache>
            </c:strRef>
          </c:cat>
          <c:val>
            <c:numRef>
              <c:f>Sheet4!$H$5:$H$8</c:f>
              <c:numCache>
                <c:formatCode>General</c:formatCode>
                <c:ptCount val="4"/>
                <c:pt idx="0">
                  <c:v>35</c:v>
                </c:pt>
                <c:pt idx="1">
                  <c:v>25</c:v>
                </c:pt>
                <c:pt idx="2">
                  <c:v>15</c:v>
                </c:pt>
                <c:pt idx="3">
                  <c:v>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3"/>
    </mc:Choice>
    <mc:Fallback>
      <c:style val="43"/>
    </mc:Fallback>
  </mc:AlternateContent>
  <c:chart>
    <c:title>
      <c:layout/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val>
            <c:numRef>
              <c:f>Sheet4!$C$15:$C$19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2023</c:v>
                </c:pt>
                <c:pt idx="4">
                  <c:v>2024</c:v>
                </c:pt>
              </c:numCache>
            </c:numRef>
          </c:val>
        </c:ser>
        <c:ser>
          <c:idx val="1"/>
          <c:order val="1"/>
          <c:val>
            <c:numRef>
              <c:f>Sheet4!$D$15:$D$19</c:f>
              <c:numCache>
                <c:formatCode>General</c:formatCode>
                <c:ptCount val="5"/>
                <c:pt idx="0">
                  <c:v>1500000</c:v>
                </c:pt>
                <c:pt idx="1">
                  <c:v>1750000</c:v>
                </c:pt>
                <c:pt idx="2">
                  <c:v>1900000</c:v>
                </c:pt>
                <c:pt idx="3">
                  <c:v>1000000</c:v>
                </c:pt>
                <c:pt idx="4">
                  <c:v>1600000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356032"/>
        <c:axId val="227370112"/>
      </c:areaChart>
      <c:catAx>
        <c:axId val="227356032"/>
        <c:scaling>
          <c:orientation val="minMax"/>
        </c:scaling>
        <c:delete val="0"/>
        <c:axPos val="b"/>
        <c:majorTickMark val="none"/>
        <c:minorTickMark val="none"/>
        <c:tickLblPos val="nextTo"/>
        <c:crossAx val="227370112"/>
        <c:crosses val="autoZero"/>
        <c:auto val="1"/>
        <c:lblAlgn val="ctr"/>
        <c:lblOffset val="100"/>
        <c:noMultiLvlLbl val="0"/>
      </c:catAx>
      <c:valAx>
        <c:axId val="22737011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27356032"/>
        <c:crosses val="autoZero"/>
        <c:crossBetween val="midCat"/>
      </c:valAx>
      <c:dTable>
        <c:showHorzBorder val="1"/>
        <c:showVertBorder val="1"/>
        <c:showOutline val="1"/>
        <c:showKeys val="1"/>
      </c:dTable>
    </c:plotArea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sales of the products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Sheet2!$C$8:$C$13</c:f>
              <c:strCache>
                <c:ptCount val="6"/>
                <c:pt idx="0">
                  <c:v>Keyboard</c:v>
                </c:pt>
                <c:pt idx="1">
                  <c:v>Mouse</c:v>
                </c:pt>
                <c:pt idx="2">
                  <c:v>Printer</c:v>
                </c:pt>
                <c:pt idx="3">
                  <c:v>Laptop</c:v>
                </c:pt>
                <c:pt idx="4">
                  <c:v>Powerbank</c:v>
                </c:pt>
                <c:pt idx="5">
                  <c:v>Printer</c:v>
                </c:pt>
              </c:strCache>
            </c:strRef>
          </c:cat>
          <c:val>
            <c:numRef>
              <c:f>Sheet2!$F$8:$F$13</c:f>
              <c:numCache>
                <c:formatCode>General</c:formatCode>
                <c:ptCount val="6"/>
                <c:pt idx="0">
                  <c:v>16000</c:v>
                </c:pt>
                <c:pt idx="1">
                  <c:v>15000</c:v>
                </c:pt>
                <c:pt idx="2">
                  <c:v>150000</c:v>
                </c:pt>
                <c:pt idx="3">
                  <c:v>350000</c:v>
                </c:pt>
                <c:pt idx="4">
                  <c:v>25000</c:v>
                </c:pt>
                <c:pt idx="5">
                  <c:v>450000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7388416"/>
        <c:axId val="227394304"/>
        <c:axId val="0"/>
      </c:bar3DChart>
      <c:catAx>
        <c:axId val="227388416"/>
        <c:scaling>
          <c:orientation val="minMax"/>
        </c:scaling>
        <c:delete val="0"/>
        <c:axPos val="b"/>
        <c:majorTickMark val="none"/>
        <c:minorTickMark val="none"/>
        <c:tickLblPos val="nextTo"/>
        <c:crossAx val="227394304"/>
        <c:crosses val="autoZero"/>
        <c:auto val="1"/>
        <c:lblAlgn val="ctr"/>
        <c:lblOffset val="100"/>
        <c:noMultiLvlLbl val="0"/>
      </c:catAx>
      <c:valAx>
        <c:axId val="227394304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General" sourceLinked="1"/>
        <c:majorTickMark val="none"/>
        <c:minorTickMark val="none"/>
        <c:tickLblPos val="nextTo"/>
        <c:crossAx val="227388416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multiLvlStrRef>
              <c:f>Sheet2!$F$8:$G$13</c:f>
              <c:multiLvlStrCache>
                <c:ptCount val="2"/>
                <c:lvl>
                  <c:pt idx="0">
                    <c:v>450000</c:v>
                  </c:pt>
                  <c:pt idx="1">
                    <c:v>East</c:v>
                  </c:pt>
                </c:lvl>
                <c:lvl>
                  <c:pt idx="0">
                    <c:v>25000</c:v>
                  </c:pt>
                  <c:pt idx="1">
                    <c:v>South</c:v>
                  </c:pt>
                </c:lvl>
                <c:lvl>
                  <c:pt idx="0">
                    <c:v>350000</c:v>
                  </c:pt>
                  <c:pt idx="1">
                    <c:v>South</c:v>
                  </c:pt>
                </c:lvl>
                <c:lvl>
                  <c:pt idx="0">
                    <c:v>150000</c:v>
                  </c:pt>
                  <c:pt idx="1">
                    <c:v>East</c:v>
                  </c:pt>
                </c:lvl>
                <c:lvl>
                  <c:pt idx="0">
                    <c:v>15000</c:v>
                  </c:pt>
                  <c:pt idx="1">
                    <c:v>South</c:v>
                  </c:pt>
                </c:lvl>
                <c:lvl>
                  <c:pt idx="0">
                    <c:v>16000</c:v>
                  </c:pt>
                  <c:pt idx="1">
                    <c:v>North</c:v>
                  </c:pt>
                </c:lvl>
              </c:multiLvlStrCache>
            </c:multiLvlStrRef>
          </c:cat>
          <c:val>
            <c:numRef>
              <c:f>(Sheet2!$F$13,Sheet2!$G$13)</c:f>
              <c:numCache>
                <c:formatCode>General</c:formatCode>
                <c:ptCount val="2"/>
                <c:pt idx="0">
                  <c:v>450000</c:v>
                </c:pt>
                <c:pt idx="1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shape val="cylinder"/>
        <c:axId val="227172352"/>
        <c:axId val="227173888"/>
        <c:axId val="0"/>
      </c:bar3DChart>
      <c:catAx>
        <c:axId val="227172352"/>
        <c:scaling>
          <c:orientation val="minMax"/>
        </c:scaling>
        <c:delete val="0"/>
        <c:axPos val="b"/>
        <c:majorTickMark val="none"/>
        <c:minorTickMark val="none"/>
        <c:tickLblPos val="nextTo"/>
        <c:crossAx val="227173888"/>
        <c:crosses val="autoZero"/>
        <c:auto val="1"/>
        <c:lblAlgn val="ctr"/>
        <c:lblOffset val="100"/>
        <c:noMultiLvlLbl val="0"/>
      </c:catAx>
      <c:valAx>
        <c:axId val="227173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22717235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7"/>
    </mc:Choice>
    <mc:Fallback>
      <c:style val="47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Sheet3!$D$3</c:f>
              <c:strCache>
                <c:ptCount val="1"/>
                <c:pt idx="0">
                  <c:v>Visitors</c:v>
                </c:pt>
              </c:strCache>
            </c:strRef>
          </c:tx>
          <c:cat>
            <c:strRef>
              <c:f>Sheet3!$C$4:$C$7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Sheet3!$D$4:$D$7</c:f>
              <c:numCache>
                <c:formatCode>#,##0</c:formatCode>
                <c:ptCount val="4"/>
                <c:pt idx="0">
                  <c:v>10000</c:v>
                </c:pt>
                <c:pt idx="1">
                  <c:v>12500</c:v>
                </c:pt>
                <c:pt idx="2">
                  <c:v>14000</c:v>
                </c:pt>
                <c:pt idx="3">
                  <c:v>15000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423744"/>
        <c:axId val="227425280"/>
      </c:lineChart>
      <c:catAx>
        <c:axId val="227423744"/>
        <c:scaling>
          <c:orientation val="minMax"/>
        </c:scaling>
        <c:delete val="0"/>
        <c:axPos val="b"/>
        <c:majorTickMark val="none"/>
        <c:minorTickMark val="none"/>
        <c:tickLblPos val="nextTo"/>
        <c:crossAx val="227425280"/>
        <c:crosses val="autoZero"/>
        <c:auto val="1"/>
        <c:lblAlgn val="ctr"/>
        <c:lblOffset val="100"/>
        <c:noMultiLvlLbl val="0"/>
      </c:catAx>
      <c:valAx>
        <c:axId val="227425280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#,##0" sourceLinked="1"/>
        <c:majorTickMark val="none"/>
        <c:minorTickMark val="none"/>
        <c:tickLblPos val="nextTo"/>
        <c:crossAx val="227423744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Sheet6!$C$3</c:f>
              <c:strCache>
                <c:ptCount val="1"/>
                <c:pt idx="0">
                  <c:v>Score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Sheet6!$B$4:$B$8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Sheet6!$C$4:$C$8</c:f>
              <c:numCache>
                <c:formatCode>General</c:formatCode>
                <c:ptCount val="5"/>
                <c:pt idx="0">
                  <c:v>40</c:v>
                </c:pt>
                <c:pt idx="1">
                  <c:v>55</c:v>
                </c:pt>
                <c:pt idx="2">
                  <c:v>65</c:v>
                </c:pt>
                <c:pt idx="3">
                  <c:v>75</c:v>
                </c:pt>
                <c:pt idx="4">
                  <c:v>85</c:v>
                </c:pt>
              </c:numCache>
            </c:numRef>
          </c:yVal>
          <c:smooth val="0"/>
        </c:ser>
        <c:dLbls>
          <c:dLblPos val="r"/>
          <c:showLegendKey val="0"/>
          <c:showVal val="1"/>
          <c:showCatName val="1"/>
          <c:showSerName val="0"/>
          <c:showPercent val="0"/>
          <c:showBubbleSize val="0"/>
        </c:dLbls>
        <c:axId val="229659008"/>
        <c:axId val="220961408"/>
      </c:scatterChart>
      <c:valAx>
        <c:axId val="22965900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20961408"/>
        <c:crosses val="autoZero"/>
        <c:crossBetween val="midCat"/>
      </c:valAx>
      <c:valAx>
        <c:axId val="220961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965900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77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7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7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7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447675</xdr:colOff>
      <xdr:row>5</xdr:row>
      <xdr:rowOff>57150</xdr:rowOff>
    </xdr:from>
    <xdr:to>
      <xdr:col>18</xdr:col>
      <xdr:colOff>428625</xdr:colOff>
      <xdr:row>21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1461" cy="628402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1461" cy="628402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2</xdr:row>
      <xdr:rowOff>66675</xdr:rowOff>
    </xdr:from>
    <xdr:to>
      <xdr:col>18</xdr:col>
      <xdr:colOff>57150</xdr:colOff>
      <xdr:row>18</xdr:row>
      <xdr:rowOff>142875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1461" cy="628402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1461" cy="628402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1461" cy="628402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1</xdr:row>
      <xdr:rowOff>114300</xdr:rowOff>
    </xdr:from>
    <xdr:to>
      <xdr:col>17</xdr:col>
      <xdr:colOff>200025</xdr:colOff>
      <xdr:row>20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21"/>
  <sheetViews>
    <sheetView workbookViewId="0">
      <selection activeCell="I12" sqref="I12"/>
    </sheetView>
  </sheetViews>
  <sheetFormatPr defaultRowHeight="15" x14ac:dyDescent="0.25"/>
  <cols>
    <col min="3" max="3" width="28" customWidth="1"/>
    <col min="4" max="4" width="14.85546875" customWidth="1"/>
    <col min="5" max="5" width="13.28515625" customWidth="1"/>
    <col min="6" max="6" width="11.28515625" customWidth="1"/>
    <col min="7" max="7" width="13.5703125" customWidth="1"/>
    <col min="9" max="9" width="50.42578125" bestFit="1" customWidth="1"/>
    <col min="10" max="10" width="12.85546875" customWidth="1"/>
    <col min="11" max="11" width="13" customWidth="1"/>
  </cols>
  <sheetData>
    <row r="3" spans="2:10" ht="23.25" x14ac:dyDescent="0.35">
      <c r="C3" s="10" t="s">
        <v>14</v>
      </c>
      <c r="D3" s="11"/>
    </row>
    <row r="6" spans="2:10" x14ac:dyDescent="0.25">
      <c r="B6" s="3" t="s">
        <v>0</v>
      </c>
      <c r="C6" s="3" t="s">
        <v>1</v>
      </c>
      <c r="D6" s="3" t="s">
        <v>15</v>
      </c>
      <c r="E6" s="3" t="s">
        <v>16</v>
      </c>
      <c r="F6" s="3" t="s">
        <v>2</v>
      </c>
      <c r="G6" s="3" t="s">
        <v>3</v>
      </c>
      <c r="I6" s="2" t="s">
        <v>11</v>
      </c>
      <c r="J6" s="2"/>
    </row>
    <row r="7" spans="2:10" x14ac:dyDescent="0.25">
      <c r="B7" s="2"/>
      <c r="C7" s="2"/>
      <c r="D7" s="2"/>
      <c r="E7" s="2"/>
      <c r="F7" s="2"/>
      <c r="G7" s="2"/>
      <c r="I7" s="5" t="s">
        <v>23</v>
      </c>
      <c r="J7" s="2">
        <f>SUMIFS(F8:F13, C8:C13, "Printer", G8:G13, "East")</f>
        <v>600000</v>
      </c>
    </row>
    <row r="8" spans="2:10" x14ac:dyDescent="0.25">
      <c r="B8" s="2">
        <v>1</v>
      </c>
      <c r="C8" s="4" t="s">
        <v>4</v>
      </c>
      <c r="D8" s="2">
        <v>800</v>
      </c>
      <c r="E8" s="2">
        <v>20</v>
      </c>
      <c r="F8" s="2">
        <f t="shared" ref="F8:F13" si="0">D8*E8</f>
        <v>16000</v>
      </c>
      <c r="G8" s="4" t="s">
        <v>8</v>
      </c>
      <c r="I8" s="2"/>
      <c r="J8" s="2">
        <f>SUMIFS(F8:F13,C8:C13,"Mouse",G8:G13,"South")</f>
        <v>40000</v>
      </c>
    </row>
    <row r="9" spans="2:10" x14ac:dyDescent="0.25">
      <c r="B9" s="2">
        <v>2</v>
      </c>
      <c r="C9" s="4" t="s">
        <v>5</v>
      </c>
      <c r="D9" s="2">
        <v>300</v>
      </c>
      <c r="E9" s="2">
        <v>50</v>
      </c>
      <c r="F9" s="2">
        <f t="shared" si="0"/>
        <v>15000</v>
      </c>
      <c r="G9" s="4" t="s">
        <v>9</v>
      </c>
      <c r="I9" s="2" t="s">
        <v>12</v>
      </c>
      <c r="J9" s="2"/>
    </row>
    <row r="10" spans="2:10" x14ac:dyDescent="0.25">
      <c r="B10" s="2">
        <v>3</v>
      </c>
      <c r="C10" s="4" t="s">
        <v>7</v>
      </c>
      <c r="D10" s="2">
        <v>30000</v>
      </c>
      <c r="E10" s="2">
        <v>5</v>
      </c>
      <c r="F10" s="2">
        <f t="shared" si="0"/>
        <v>150000</v>
      </c>
      <c r="G10" s="4" t="s">
        <v>10</v>
      </c>
      <c r="I10" s="5" t="s">
        <v>30</v>
      </c>
      <c r="J10" s="2">
        <f>COUNTIFS(C8:C13, "Printer", G8:G13, "East")</f>
        <v>2</v>
      </c>
    </row>
    <row r="11" spans="2:10" x14ac:dyDescent="0.25">
      <c r="B11" s="2">
        <v>4</v>
      </c>
      <c r="C11" s="4" t="s">
        <v>6</v>
      </c>
      <c r="D11" s="2">
        <v>35000</v>
      </c>
      <c r="E11" s="2">
        <v>10</v>
      </c>
      <c r="F11" s="2">
        <f t="shared" si="0"/>
        <v>350000</v>
      </c>
      <c r="G11" s="4" t="s">
        <v>9</v>
      </c>
      <c r="I11" s="2"/>
      <c r="J11" s="2"/>
    </row>
    <row r="12" spans="2:10" x14ac:dyDescent="0.25">
      <c r="B12" s="2">
        <v>5</v>
      </c>
      <c r="C12" s="4" t="s">
        <v>5</v>
      </c>
      <c r="D12" s="2">
        <v>1000</v>
      </c>
      <c r="E12" s="2">
        <v>25</v>
      </c>
      <c r="F12" s="2">
        <f t="shared" si="0"/>
        <v>25000</v>
      </c>
      <c r="G12" s="4" t="s">
        <v>9</v>
      </c>
      <c r="I12" s="2" t="s">
        <v>13</v>
      </c>
      <c r="J12" s="2"/>
    </row>
    <row r="13" spans="2:10" x14ac:dyDescent="0.25">
      <c r="B13" s="2">
        <v>6</v>
      </c>
      <c r="C13" s="4" t="s">
        <v>7</v>
      </c>
      <c r="D13" s="2">
        <v>45000</v>
      </c>
      <c r="E13" s="2">
        <v>10</v>
      </c>
      <c r="F13" s="2">
        <f t="shared" si="0"/>
        <v>450000</v>
      </c>
      <c r="G13" s="4" t="s">
        <v>10</v>
      </c>
      <c r="I13" s="5" t="s">
        <v>31</v>
      </c>
      <c r="J13" s="2">
        <f>AVERAGEIFS(F8:F13, C8:C13, "Printer", G8:G13, "East")</f>
        <v>300000</v>
      </c>
    </row>
    <row r="16" spans="2:10" x14ac:dyDescent="0.25">
      <c r="D16" s="1" t="s">
        <v>20</v>
      </c>
      <c r="E16" t="s">
        <v>17</v>
      </c>
      <c r="F16">
        <f>SUM(F8:F13)</f>
        <v>1006000</v>
      </c>
      <c r="I16" s="1" t="s">
        <v>24</v>
      </c>
    </row>
    <row r="17" spans="4:9" x14ac:dyDescent="0.25">
      <c r="D17" s="1" t="s">
        <v>21</v>
      </c>
      <c r="E17" t="s">
        <v>18</v>
      </c>
      <c r="F17">
        <f>COUNT(F8:F13)</f>
        <v>6</v>
      </c>
      <c r="I17" t="s">
        <v>25</v>
      </c>
    </row>
    <row r="18" spans="4:9" x14ac:dyDescent="0.25">
      <c r="D18" s="1" t="s">
        <v>22</v>
      </c>
      <c r="E18" t="s">
        <v>19</v>
      </c>
      <c r="F18">
        <f>AVERAGE(F8:F13)</f>
        <v>167666.66666666666</v>
      </c>
      <c r="I18" t="s">
        <v>26</v>
      </c>
    </row>
    <row r="19" spans="4:9" x14ac:dyDescent="0.25">
      <c r="I19" t="s">
        <v>27</v>
      </c>
    </row>
    <row r="20" spans="4:9" x14ac:dyDescent="0.25">
      <c r="I20" t="s">
        <v>28</v>
      </c>
    </row>
    <row r="21" spans="4:9" x14ac:dyDescent="0.25">
      <c r="I21" t="s">
        <v>29</v>
      </c>
    </row>
  </sheetData>
  <mergeCells count="1">
    <mergeCell ref="C3:D3"/>
  </mergeCells>
  <dataValidations count="3">
    <dataValidation type="list" allowBlank="1" showInputMessage="1" showErrorMessage="1" promptTitle="Region" prompt="Select one region" sqref="G8 G10 G12">
      <formula1>"North, South, East, West"</formula1>
    </dataValidation>
    <dataValidation type="list" allowBlank="1" showInputMessage="1" showErrorMessage="1" errorTitle="Region" error="Only valid region allowed" promptTitle="Region" prompt="Select one region" sqref="G9">
      <formula1>"North, South, East, West"</formula1>
    </dataValidation>
    <dataValidation type="list" allowBlank="1" showInputMessage="1" showErrorMessage="1" error="Select a valid region" promptTitle="Region" prompt="Select one region" sqref="G11">
      <formula1>"North, South, East, West"</formula1>
    </dataValidation>
  </dataValidation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zoomScale="80" zoomScaleNormal="80" workbookViewId="0">
      <selection activeCell="G19" sqref="G19:H19"/>
    </sheetView>
  </sheetViews>
  <sheetFormatPr defaultRowHeight="15" x14ac:dyDescent="0.25"/>
  <cols>
    <col min="3" max="3" width="14.42578125" customWidth="1"/>
    <col min="4" max="4" width="25.85546875" customWidth="1"/>
    <col min="5" max="5" width="15.42578125" customWidth="1"/>
    <col min="6" max="6" width="15.85546875" customWidth="1"/>
    <col min="7" max="7" width="15.140625" customWidth="1"/>
  </cols>
  <sheetData>
    <row r="3" spans="2:7" ht="23.25" x14ac:dyDescent="0.35">
      <c r="C3" s="10" t="s">
        <v>14</v>
      </c>
      <c r="D3" s="11"/>
    </row>
    <row r="6" spans="2:7" x14ac:dyDescent="0.25">
      <c r="B6" s="3" t="s">
        <v>0</v>
      </c>
      <c r="C6" s="3" t="s">
        <v>32</v>
      </c>
      <c r="D6" s="3" t="s">
        <v>15</v>
      </c>
      <c r="E6" s="3" t="s">
        <v>16</v>
      </c>
      <c r="F6" s="3" t="s">
        <v>2</v>
      </c>
      <c r="G6" s="3" t="s">
        <v>3</v>
      </c>
    </row>
    <row r="7" spans="2:7" x14ac:dyDescent="0.25">
      <c r="B7" s="2"/>
      <c r="C7" s="2"/>
      <c r="D7" s="2"/>
      <c r="E7" s="2"/>
      <c r="F7" s="2"/>
      <c r="G7" s="2"/>
    </row>
    <row r="8" spans="2:7" x14ac:dyDescent="0.25">
      <c r="B8" s="2">
        <v>1</v>
      </c>
      <c r="C8" s="4" t="s">
        <v>4</v>
      </c>
      <c r="D8" s="2">
        <v>800</v>
      </c>
      <c r="E8" s="2">
        <v>20</v>
      </c>
      <c r="F8" s="2">
        <f t="shared" ref="F8:F13" si="0">D8*E8</f>
        <v>16000</v>
      </c>
      <c r="G8" s="4" t="s">
        <v>8</v>
      </c>
    </row>
    <row r="9" spans="2:7" x14ac:dyDescent="0.25">
      <c r="B9" s="2">
        <v>2</v>
      </c>
      <c r="C9" s="4" t="s">
        <v>5</v>
      </c>
      <c r="D9" s="2">
        <v>300</v>
      </c>
      <c r="E9" s="2">
        <v>50</v>
      </c>
      <c r="F9" s="2">
        <f t="shared" si="0"/>
        <v>15000</v>
      </c>
      <c r="G9" s="4" t="s">
        <v>9</v>
      </c>
    </row>
    <row r="10" spans="2:7" x14ac:dyDescent="0.25">
      <c r="B10" s="2">
        <v>3</v>
      </c>
      <c r="C10" s="4" t="s">
        <v>7</v>
      </c>
      <c r="D10" s="2">
        <v>30000</v>
      </c>
      <c r="E10" s="2">
        <v>5</v>
      </c>
      <c r="F10" s="2">
        <f t="shared" si="0"/>
        <v>150000</v>
      </c>
      <c r="G10" s="4" t="s">
        <v>10</v>
      </c>
    </row>
    <row r="11" spans="2:7" x14ac:dyDescent="0.25">
      <c r="B11" s="2">
        <v>4</v>
      </c>
      <c r="C11" s="4" t="s">
        <v>6</v>
      </c>
      <c r="D11" s="2">
        <v>35000</v>
      </c>
      <c r="E11" s="2">
        <v>10</v>
      </c>
      <c r="F11" s="2">
        <f t="shared" si="0"/>
        <v>350000</v>
      </c>
      <c r="G11" s="4" t="s">
        <v>9</v>
      </c>
    </row>
    <row r="12" spans="2:7" x14ac:dyDescent="0.25">
      <c r="B12" s="2">
        <v>5</v>
      </c>
      <c r="C12" s="4" t="s">
        <v>33</v>
      </c>
      <c r="D12" s="2">
        <v>1000</v>
      </c>
      <c r="E12" s="2">
        <v>25</v>
      </c>
      <c r="F12" s="2">
        <f t="shared" si="0"/>
        <v>25000</v>
      </c>
      <c r="G12" s="4" t="s">
        <v>9</v>
      </c>
    </row>
    <row r="13" spans="2:7" x14ac:dyDescent="0.25">
      <c r="B13" s="2">
        <v>6</v>
      </c>
      <c r="C13" s="4" t="s">
        <v>7</v>
      </c>
      <c r="D13" s="2">
        <v>45000</v>
      </c>
      <c r="E13" s="2">
        <v>10</v>
      </c>
      <c r="F13" s="2">
        <f t="shared" si="0"/>
        <v>450000</v>
      </c>
      <c r="G13" s="4" t="s">
        <v>10</v>
      </c>
    </row>
  </sheetData>
  <mergeCells count="1">
    <mergeCell ref="C3:D3"/>
  </mergeCells>
  <dataValidations count="3">
    <dataValidation type="list" allowBlank="1" showInputMessage="1" showErrorMessage="1" error="Select a valid region" promptTitle="Region" prompt="Select one region" sqref="G11">
      <formula1>"North, South, East, West"</formula1>
    </dataValidation>
    <dataValidation type="list" allowBlank="1" showInputMessage="1" showErrorMessage="1" errorTitle="Region" error="Only valid region allowed" promptTitle="Region" prompt="Select one region" sqref="G9">
      <formula1>"North, South, East, West"</formula1>
    </dataValidation>
    <dataValidation type="list" allowBlank="1" showInputMessage="1" showErrorMessage="1" promptTitle="Region" prompt="Select one region" sqref="G8 G10 G12">
      <formula1>"North, South, East, West"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8"/>
  <sheetViews>
    <sheetView tabSelected="1" workbookViewId="0">
      <selection activeCell="C4" sqref="C4"/>
    </sheetView>
  </sheetViews>
  <sheetFormatPr defaultRowHeight="15" x14ac:dyDescent="0.25"/>
  <cols>
    <col min="3" max="3" width="11" bestFit="1" customWidth="1"/>
  </cols>
  <sheetData>
    <row r="3" spans="3:4" x14ac:dyDescent="0.25">
      <c r="C3" t="s">
        <v>34</v>
      </c>
      <c r="D3" t="s">
        <v>35</v>
      </c>
    </row>
    <row r="4" spans="3:4" x14ac:dyDescent="0.25">
      <c r="C4" t="s">
        <v>36</v>
      </c>
      <c r="D4" s="6">
        <v>10000</v>
      </c>
    </row>
    <row r="5" spans="3:4" x14ac:dyDescent="0.25">
      <c r="C5" t="s">
        <v>37</v>
      </c>
      <c r="D5" s="6">
        <v>12500</v>
      </c>
    </row>
    <row r="6" spans="3:4" x14ac:dyDescent="0.25">
      <c r="C6" t="s">
        <v>38</v>
      </c>
      <c r="D6" s="6">
        <v>14000</v>
      </c>
    </row>
    <row r="7" spans="3:4" x14ac:dyDescent="0.25">
      <c r="C7" t="s">
        <v>39</v>
      </c>
      <c r="D7" s="6">
        <v>15000</v>
      </c>
    </row>
    <row r="8" spans="3:4" x14ac:dyDescent="0.25">
      <c r="D8" t="s">
        <v>40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H19"/>
  <sheetViews>
    <sheetView workbookViewId="0">
      <selection activeCell="C15" sqref="C15:D19"/>
    </sheetView>
  </sheetViews>
  <sheetFormatPr defaultRowHeight="15" x14ac:dyDescent="0.25"/>
  <cols>
    <col min="3" max="3" width="14.140625" bestFit="1" customWidth="1"/>
  </cols>
  <sheetData>
    <row r="4" spans="3:8" x14ac:dyDescent="0.25">
      <c r="C4" t="s">
        <v>44</v>
      </c>
      <c r="D4" t="s">
        <v>45</v>
      </c>
      <c r="G4" t="s">
        <v>46</v>
      </c>
      <c r="H4" t="s">
        <v>47</v>
      </c>
    </row>
    <row r="5" spans="3:8" x14ac:dyDescent="0.25">
      <c r="C5" t="s">
        <v>41</v>
      </c>
      <c r="D5" s="8">
        <v>40</v>
      </c>
      <c r="F5" s="7"/>
      <c r="G5" t="s">
        <v>48</v>
      </c>
      <c r="H5">
        <v>35</v>
      </c>
    </row>
    <row r="6" spans="3:8" x14ac:dyDescent="0.25">
      <c r="C6" t="s">
        <v>42</v>
      </c>
      <c r="D6" s="8">
        <v>35</v>
      </c>
      <c r="G6" t="s">
        <v>49</v>
      </c>
      <c r="H6">
        <v>25</v>
      </c>
    </row>
    <row r="7" spans="3:8" x14ac:dyDescent="0.25">
      <c r="C7" t="s">
        <v>43</v>
      </c>
      <c r="D7" s="8">
        <v>25</v>
      </c>
      <c r="F7" s="7"/>
      <c r="G7" t="s">
        <v>50</v>
      </c>
      <c r="H7">
        <v>15</v>
      </c>
    </row>
    <row r="8" spans="3:8" x14ac:dyDescent="0.25">
      <c r="G8" t="s">
        <v>51</v>
      </c>
      <c r="H8">
        <v>25</v>
      </c>
    </row>
    <row r="10" spans="3:8" x14ac:dyDescent="0.25">
      <c r="D10" s="8"/>
    </row>
    <row r="11" spans="3:8" x14ac:dyDescent="0.25">
      <c r="H11">
        <f>SUM(H5:H8)</f>
        <v>100</v>
      </c>
    </row>
    <row r="14" spans="3:8" x14ac:dyDescent="0.25">
      <c r="C14" t="s">
        <v>52</v>
      </c>
      <c r="D14" t="s">
        <v>53</v>
      </c>
    </row>
    <row r="15" spans="3:8" x14ac:dyDescent="0.25">
      <c r="C15" s="1" t="s">
        <v>54</v>
      </c>
      <c r="D15" s="9">
        <v>1500000</v>
      </c>
    </row>
    <row r="16" spans="3:8" x14ac:dyDescent="0.25">
      <c r="C16" s="1" t="s">
        <v>55</v>
      </c>
      <c r="D16" s="9">
        <v>1750000</v>
      </c>
    </row>
    <row r="17" spans="3:4" x14ac:dyDescent="0.25">
      <c r="C17" s="1" t="s">
        <v>56</v>
      </c>
      <c r="D17" s="9">
        <v>1900000</v>
      </c>
    </row>
    <row r="18" spans="3:4" x14ac:dyDescent="0.25">
      <c r="C18">
        <v>2023</v>
      </c>
      <c r="D18" s="9">
        <v>1000000</v>
      </c>
    </row>
    <row r="19" spans="3:4" x14ac:dyDescent="0.25">
      <c r="C19">
        <v>2024</v>
      </c>
      <c r="D19" s="9">
        <v>1600000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8"/>
  <sheetViews>
    <sheetView workbookViewId="0">
      <selection activeCell="F5" sqref="F5"/>
    </sheetView>
  </sheetViews>
  <sheetFormatPr defaultRowHeight="15" x14ac:dyDescent="0.25"/>
  <sheetData>
    <row r="3" spans="2:3" x14ac:dyDescent="0.25">
      <c r="B3" t="s">
        <v>57</v>
      </c>
      <c r="C3" t="s">
        <v>58</v>
      </c>
    </row>
    <row r="4" spans="2:3" x14ac:dyDescent="0.25">
      <c r="B4">
        <v>1</v>
      </c>
      <c r="C4">
        <v>40</v>
      </c>
    </row>
    <row r="5" spans="2:3" x14ac:dyDescent="0.25">
      <c r="B5">
        <v>2</v>
      </c>
      <c r="C5">
        <v>55</v>
      </c>
    </row>
    <row r="6" spans="2:3" x14ac:dyDescent="0.25">
      <c r="B6">
        <v>3</v>
      </c>
      <c r="C6">
        <v>65</v>
      </c>
    </row>
    <row r="7" spans="2:3" x14ac:dyDescent="0.25">
      <c r="B7">
        <v>4</v>
      </c>
      <c r="C7">
        <v>75</v>
      </c>
    </row>
    <row r="8" spans="2:3" x14ac:dyDescent="0.25">
      <c r="B8">
        <v>5</v>
      </c>
      <c r="C8">
        <v>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5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Sheet6</vt:lpstr>
      <vt:lpstr>Pie1</vt:lpstr>
      <vt:lpstr>Doughnut1</vt:lpstr>
      <vt:lpstr>Bar1</vt:lpstr>
      <vt:lpstr>Bar2</vt:lpstr>
      <vt:lpstr>Line1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q</cp:lastModifiedBy>
  <dcterms:created xsi:type="dcterms:W3CDTF">2025-11-25T12:44:09Z</dcterms:created>
  <dcterms:modified xsi:type="dcterms:W3CDTF">2025-12-01T04:07:53Z</dcterms:modified>
</cp:coreProperties>
</file>