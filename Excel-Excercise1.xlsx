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3" r:id="rId2"/>
  </sheets>
  <calcPr calcId="144525"/>
  <fileRecoveryPr repairLoad="1"/>
</workbook>
</file>

<file path=xl/calcChain.xml><?xml version="1.0" encoding="utf-8"?>
<calcChain xmlns="http://schemas.openxmlformats.org/spreadsheetml/2006/main">
  <c r="F13" i="3" l="1"/>
  <c r="F12" i="3"/>
  <c r="F11" i="3"/>
  <c r="F10" i="3"/>
  <c r="F9" i="3"/>
  <c r="F8" i="3"/>
  <c r="J8" i="1"/>
  <c r="J7" i="1"/>
  <c r="F18" i="1"/>
  <c r="F17" i="1"/>
  <c r="F16" i="1"/>
  <c r="F9" i="1"/>
  <c r="F10" i="1"/>
  <c r="J13" i="1" s="1"/>
  <c r="F11" i="1"/>
  <c r="F12" i="1"/>
  <c r="F13" i="1"/>
  <c r="F8" i="1"/>
  <c r="J10" i="1"/>
</calcChain>
</file>

<file path=xl/sharedStrings.xml><?xml version="1.0" encoding="utf-8"?>
<sst xmlns="http://schemas.openxmlformats.org/spreadsheetml/2006/main" count="56" uniqueCount="34">
  <si>
    <t>Pno</t>
  </si>
  <si>
    <t>Name</t>
  </si>
  <si>
    <t>Total</t>
  </si>
  <si>
    <t>Region</t>
  </si>
  <si>
    <t>Keyboard</t>
  </si>
  <si>
    <t>Mouse</t>
  </si>
  <si>
    <t>Laptop</t>
  </si>
  <si>
    <t>Printer</t>
  </si>
  <si>
    <t>North</t>
  </si>
  <si>
    <t>South</t>
  </si>
  <si>
    <t>East</t>
  </si>
  <si>
    <t>sumifs()</t>
  </si>
  <si>
    <t>countifs()</t>
  </si>
  <si>
    <t>averageifs()</t>
  </si>
  <si>
    <t>Advanced Excel Functions</t>
  </si>
  <si>
    <t>Unit Price</t>
  </si>
  <si>
    <t>Quantity</t>
  </si>
  <si>
    <t>Total Amout</t>
  </si>
  <si>
    <t>Tot Count</t>
  </si>
  <si>
    <t xml:space="preserve">Average </t>
  </si>
  <si>
    <t>=sum()</t>
  </si>
  <si>
    <t>=count()</t>
  </si>
  <si>
    <t>=average()</t>
  </si>
  <si>
    <t>=SUMIFS(F8:F13, C8:C13, "Printer", G8:G13, "East")</t>
  </si>
  <si>
    <t xml:space="preserve">-sumifs() </t>
  </si>
  <si>
    <t>first column for total sales</t>
  </si>
  <si>
    <t>second column for product list</t>
  </si>
  <si>
    <t>item name whose total to sum</t>
  </si>
  <si>
    <t xml:space="preserve">third column is the region </t>
  </si>
  <si>
    <t>name of region</t>
  </si>
  <si>
    <t>=COUNTIFS(C8:C13, "Printer", G8:G13, "East")</t>
  </si>
  <si>
    <t>=AVERAGEIFS(F8:F13, C8:C13, "Printer", G8:G13, "East")</t>
  </si>
  <si>
    <t>Product Name</t>
  </si>
  <si>
    <t>Powerbank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</si>
</sst>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quotePrefix="1" applyBorder="1"/>
    <xf numFmtId="0" fontId="2" fillId="2" borderId="1" xfId="0" applyFont="1" applyFill="1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Sheet2!$C$8:$C$13</c:f>
              <c:strCache>
                <c:ptCount val="6"/>
                <c:pt idx="0">
                  <c:v>Keyboard</c:v>
                </c:pt>
                <c:pt idx="1">
                  <c:v>Mouse</c:v>
                </c:pt>
                <c:pt idx="2">
                  <c:v>Printer</c:v>
                </c:pt>
                <c:pt idx="3">
                  <c:v>Laptop</c:v>
                </c:pt>
                <c:pt idx="4">
                  <c:v>Powerbank</c:v>
                </c:pt>
                <c:pt idx="5">
                  <c:v>Printer</c:v>
                </c:pt>
              </c:strCache>
            </c:strRef>
          </c:cat>
          <c:val>
            <c:numRef>
              <c:f>Sheet2!$F$8:$F$13</c:f>
              <c:numCache>
                <c:formatCode>General</c:formatCode>
                <c:ptCount val="6"/>
                <c:pt idx="0">
                  <c:v>16000</c:v>
                </c:pt>
                <c:pt idx="1">
                  <c:v>15000</c:v>
                </c:pt>
                <c:pt idx="2">
                  <c:v>150000</c:v>
                </c:pt>
                <c:pt idx="3">
                  <c:v>350000</c:v>
                </c:pt>
                <c:pt idx="4">
                  <c:v>25000</c:v>
                </c:pt>
                <c:pt idx="5">
                  <c:v>450000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213221760"/>
        <c:axId val="213223296"/>
        <c:axId val="0"/>
      </c:bar3DChart>
      <c:catAx>
        <c:axId val="213221760"/>
        <c:scaling>
          <c:orientation val="minMax"/>
        </c:scaling>
        <c:delete val="0"/>
        <c:axPos val="b"/>
        <c:majorTickMark val="none"/>
        <c:minorTickMark val="none"/>
        <c:tickLblPos val="nextTo"/>
        <c:crossAx val="213223296"/>
        <c:crosses val="autoZero"/>
        <c:auto val="1"/>
        <c:lblAlgn val="ctr"/>
        <c:lblOffset val="100"/>
        <c:noMultiLvlLbl val="0"/>
      </c:catAx>
      <c:valAx>
        <c:axId val="21322329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21322176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404811</xdr:colOff>
      <xdr:row>2</xdr:row>
      <xdr:rowOff>83344</xdr:rowOff>
    </xdr:from>
    <xdr:to>
      <xdr:col>19</xdr:col>
      <xdr:colOff>202405</xdr:colOff>
      <xdr:row>24</xdr:row>
      <xdr:rowOff>59532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21"/>
  <sheetViews>
    <sheetView tabSelected="1" workbookViewId="0">
      <selection activeCell="C19" sqref="C19"/>
    </sheetView>
  </sheetViews>
  <sheetFormatPr defaultRowHeight="15" x14ac:dyDescent="0.25"/>
  <cols>
    <col min="3" max="3" width="28" customWidth="1"/>
    <col min="4" max="4" width="14.85546875" customWidth="1"/>
    <col min="5" max="5" width="13.28515625" customWidth="1"/>
    <col min="6" max="6" width="11.28515625" customWidth="1"/>
    <col min="7" max="7" width="13.5703125" customWidth="1"/>
    <col min="9" max="9" width="50.42578125" bestFit="1" customWidth="1"/>
    <col min="10" max="10" width="12.85546875" customWidth="1"/>
    <col min="11" max="11" width="13" customWidth="1"/>
  </cols>
  <sheetData>
    <row r="3" spans="2:10" ht="23.25" x14ac:dyDescent="0.35">
      <c r="C3" s="6" t="s">
        <v>14</v>
      </c>
      <c r="D3" s="7"/>
    </row>
    <row r="6" spans="2:10" x14ac:dyDescent="0.25">
      <c r="B6" s="3" t="s">
        <v>0</v>
      </c>
      <c r="C6" s="3" t="s">
        <v>1</v>
      </c>
      <c r="D6" s="3" t="s">
        <v>15</v>
      </c>
      <c r="E6" s="3" t="s">
        <v>16</v>
      </c>
      <c r="F6" s="3" t="s">
        <v>2</v>
      </c>
      <c r="G6" s="3" t="s">
        <v>3</v>
      </c>
      <c r="I6" s="2" t="s">
        <v>11</v>
      </c>
      <c r="J6" s="2"/>
    </row>
    <row r="7" spans="2:10" x14ac:dyDescent="0.25">
      <c r="B7" s="2"/>
      <c r="C7" s="2"/>
      <c r="D7" s="2"/>
      <c r="E7" s="2"/>
      <c r="F7" s="2"/>
      <c r="G7" s="2"/>
      <c r="I7" s="5" t="s">
        <v>23</v>
      </c>
      <c r="J7" s="2">
        <f>SUMIFS(F8:F13, C8:C13, "Printer", G8:G13, "East")</f>
        <v>600000</v>
      </c>
    </row>
    <row r="8" spans="2:10" x14ac:dyDescent="0.25">
      <c r="B8" s="2">
        <v>1</v>
      </c>
      <c r="C8" s="4" t="s">
        <v>4</v>
      </c>
      <c r="D8" s="2">
        <v>800</v>
      </c>
      <c r="E8" s="2">
        <v>20</v>
      </c>
      <c r="F8" s="2">
        <f>D8*E8</f>
        <v>16000</v>
      </c>
      <c r="G8" s="4" t="s">
        <v>8</v>
      </c>
      <c r="I8" s="2"/>
      <c r="J8" s="2">
        <f>SUMIFS(F8:F13,C8:C13,"Mouse",G8:G13,"South")</f>
        <v>40000</v>
      </c>
    </row>
    <row r="9" spans="2:10" x14ac:dyDescent="0.25">
      <c r="B9" s="2">
        <v>2</v>
      </c>
      <c r="C9" s="4" t="s">
        <v>5</v>
      </c>
      <c r="D9" s="2">
        <v>300</v>
      </c>
      <c r="E9" s="2">
        <v>50</v>
      </c>
      <c r="F9" s="2">
        <f t="shared" ref="F9:F13" si="0">D9*E9</f>
        <v>15000</v>
      </c>
      <c r="G9" s="4" t="s">
        <v>9</v>
      </c>
      <c r="I9" s="2" t="s">
        <v>12</v>
      </c>
      <c r="J9" s="2"/>
    </row>
    <row r="10" spans="2:10" x14ac:dyDescent="0.25">
      <c r="B10" s="2">
        <v>3</v>
      </c>
      <c r="C10" s="4" t="s">
        <v>7</v>
      </c>
      <c r="D10" s="2">
        <v>30000</v>
      </c>
      <c r="E10" s="2">
        <v>5</v>
      </c>
      <c r="F10" s="2">
        <f t="shared" si="0"/>
        <v>150000</v>
      </c>
      <c r="G10" s="4" t="s">
        <v>10</v>
      </c>
      <c r="I10" s="5" t="s">
        <v>30</v>
      </c>
      <c r="J10" s="2">
        <f>COUNTIFS(C8:C13, "Printer", G8:G13, "East")</f>
        <v>2</v>
      </c>
    </row>
    <row r="11" spans="2:10" x14ac:dyDescent="0.25">
      <c r="B11" s="2">
        <v>4</v>
      </c>
      <c r="C11" s="4" t="s">
        <v>6</v>
      </c>
      <c r="D11" s="2">
        <v>35000</v>
      </c>
      <c r="E11" s="2">
        <v>10</v>
      </c>
      <c r="F11" s="2">
        <f t="shared" si="0"/>
        <v>350000</v>
      </c>
      <c r="G11" s="4" t="s">
        <v>9</v>
      </c>
      <c r="I11" s="2"/>
      <c r="J11" s="2"/>
    </row>
    <row r="12" spans="2:10" x14ac:dyDescent="0.25">
      <c r="B12" s="2">
        <v>5</v>
      </c>
      <c r="C12" s="4" t="s">
        <v>5</v>
      </c>
      <c r="D12" s="2">
        <v>1000</v>
      </c>
      <c r="E12" s="2">
        <v>25</v>
      </c>
      <c r="F12" s="2">
        <f t="shared" si="0"/>
        <v>25000</v>
      </c>
      <c r="G12" s="4" t="s">
        <v>9</v>
      </c>
      <c r="I12" s="2" t="s">
        <v>13</v>
      </c>
      <c r="J12" s="2"/>
    </row>
    <row r="13" spans="2:10" x14ac:dyDescent="0.25">
      <c r="B13" s="2">
        <v>6</v>
      </c>
      <c r="C13" s="4" t="s">
        <v>7</v>
      </c>
      <c r="D13" s="2">
        <v>45000</v>
      </c>
      <c r="E13" s="2">
        <v>10</v>
      </c>
      <c r="F13" s="2">
        <f t="shared" si="0"/>
        <v>450000</v>
      </c>
      <c r="G13" s="4" t="s">
        <v>10</v>
      </c>
      <c r="I13" s="5" t="s">
        <v>31</v>
      </c>
      <c r="J13" s="2">
        <f>AVERAGEIFS(F8:F13, C8:C13, "Printer", G8:G13, "East")</f>
        <v>300000</v>
      </c>
    </row>
    <row r="16" spans="2:10" x14ac:dyDescent="0.25">
      <c r="D16" s="1" t="s">
        <v>20</v>
      </c>
      <c r="E16" t="s">
        <v>17</v>
      </c>
      <c r="F16">
        <f>SUM(F8:F13)</f>
        <v>1006000</v>
      </c>
      <c r="I16" s="1" t="s">
        <v>24</v>
      </c>
    </row>
    <row r="17" spans="4:9" x14ac:dyDescent="0.25">
      <c r="D17" s="1" t="s">
        <v>21</v>
      </c>
      <c r="E17" t="s">
        <v>18</v>
      </c>
      <c r="F17">
        <f>COUNT(F8:F13)</f>
        <v>6</v>
      </c>
      <c r="I17" t="s">
        <v>25</v>
      </c>
    </row>
    <row r="18" spans="4:9" x14ac:dyDescent="0.25">
      <c r="D18" s="1" t="s">
        <v>22</v>
      </c>
      <c r="E18" t="s">
        <v>19</v>
      </c>
      <c r="F18">
        <f>AVERAGE(F8:F13)</f>
        <v>167666.66666666666</v>
      </c>
      <c r="I18" t="s">
        <v>26</v>
      </c>
    </row>
    <row r="19" spans="4:9" x14ac:dyDescent="0.25">
      <c r="I19" t="s">
        <v>27</v>
      </c>
    </row>
    <row r="20" spans="4:9" x14ac:dyDescent="0.25">
      <c r="I20" t="s">
        <v>28</v>
      </c>
    </row>
    <row r="21" spans="4:9" x14ac:dyDescent="0.25">
      <c r="I21" t="s">
        <v>29</v>
      </c>
    </row>
  </sheetData>
  <mergeCells count="1">
    <mergeCell ref="C3:D3"/>
  </mergeCells>
  <dataValidations count="3">
    <dataValidation type="list" allowBlank="1" showInputMessage="1" showErrorMessage="1" promptTitle="Region" prompt="Select one region" sqref="G8 G10 G12">
      <formula1>"North, South, East, West"</formula1>
    </dataValidation>
    <dataValidation type="list" allowBlank="1" showInputMessage="1" showErrorMessage="1" errorTitle="Region" error="Only valid region allowed" promptTitle="Region" prompt="Select one region" sqref="G9">
      <formula1>"North, South, East, West"</formula1>
    </dataValidation>
    <dataValidation type="list" allowBlank="1" showInputMessage="1" showErrorMessage="1" error="Select a valid region" promptTitle="Region" prompt="Select one region" sqref="G11">
      <formula1>"North, South, East, West"</formula1>
    </dataValidation>
  </dataValidation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zoomScale="80" zoomScaleNormal="80" workbookViewId="0">
      <selection activeCell="F8" activeCellId="1" sqref="C8:C13 F8:F13"/>
    </sheetView>
  </sheetViews>
  <sheetFormatPr defaultRowHeight="15" x14ac:dyDescent="0.25"/>
  <cols>
    <col min="3" max="3" width="14.42578125" customWidth="1"/>
    <col min="4" max="4" width="25.85546875" customWidth="1"/>
    <col min="5" max="5" width="15.42578125" customWidth="1"/>
    <col min="6" max="6" width="15.85546875" customWidth="1"/>
    <col min="7" max="7" width="15.140625" customWidth="1"/>
  </cols>
  <sheetData>
    <row r="3" spans="2:7" ht="23.25" x14ac:dyDescent="0.35">
      <c r="C3" s="6" t="s">
        <v>14</v>
      </c>
      <c r="D3" s="7"/>
    </row>
    <row r="6" spans="2:7" x14ac:dyDescent="0.25">
      <c r="B6" s="3" t="s">
        <v>0</v>
      </c>
      <c r="C6" s="3" t="s">
        <v>32</v>
      </c>
      <c r="D6" s="3" t="s">
        <v>15</v>
      </c>
      <c r="E6" s="3" t="s">
        <v>16</v>
      </c>
      <c r="F6" s="3" t="s">
        <v>2</v>
      </c>
      <c r="G6" s="3" t="s">
        <v>3</v>
      </c>
    </row>
    <row r="7" spans="2:7" x14ac:dyDescent="0.25">
      <c r="B7" s="2"/>
      <c r="C7" s="2"/>
      <c r="D7" s="2"/>
      <c r="E7" s="2"/>
      <c r="F7" s="2"/>
      <c r="G7" s="2"/>
    </row>
    <row r="8" spans="2:7" x14ac:dyDescent="0.25">
      <c r="B8" s="2">
        <v>1</v>
      </c>
      <c r="C8" s="4" t="s">
        <v>4</v>
      </c>
      <c r="D8" s="2">
        <v>800</v>
      </c>
      <c r="E8" s="2">
        <v>20</v>
      </c>
      <c r="F8" s="2">
        <f>D8*E8</f>
        <v>16000</v>
      </c>
      <c r="G8" s="4" t="s">
        <v>8</v>
      </c>
    </row>
    <row r="9" spans="2:7" x14ac:dyDescent="0.25">
      <c r="B9" s="2">
        <v>2</v>
      </c>
      <c r="C9" s="4" t="s">
        <v>5</v>
      </c>
      <c r="D9" s="2">
        <v>300</v>
      </c>
      <c r="E9" s="2">
        <v>50</v>
      </c>
      <c r="F9" s="2">
        <f t="shared" ref="F9:F13" si="0">D9*E9</f>
        <v>15000</v>
      </c>
      <c r="G9" s="4" t="s">
        <v>9</v>
      </c>
    </row>
    <row r="10" spans="2:7" x14ac:dyDescent="0.25">
      <c r="B10" s="2">
        <v>3</v>
      </c>
      <c r="C10" s="4" t="s">
        <v>7</v>
      </c>
      <c r="D10" s="2">
        <v>30000</v>
      </c>
      <c r="E10" s="2">
        <v>5</v>
      </c>
      <c r="F10" s="2">
        <f t="shared" si="0"/>
        <v>150000</v>
      </c>
      <c r="G10" s="4" t="s">
        <v>10</v>
      </c>
    </row>
    <row r="11" spans="2:7" x14ac:dyDescent="0.25">
      <c r="B11" s="2">
        <v>4</v>
      </c>
      <c r="C11" s="4" t="s">
        <v>6</v>
      </c>
      <c r="D11" s="2">
        <v>35000</v>
      </c>
      <c r="E11" s="2">
        <v>10</v>
      </c>
      <c r="F11" s="2">
        <f t="shared" si="0"/>
        <v>350000</v>
      </c>
      <c r="G11" s="4" t="s">
        <v>9</v>
      </c>
    </row>
    <row r="12" spans="2:7" x14ac:dyDescent="0.25">
      <c r="B12" s="2">
        <v>5</v>
      </c>
      <c r="C12" s="4" t="s">
        <v>33</v>
      </c>
      <c r="D12" s="2">
        <v>1000</v>
      </c>
      <c r="E12" s="2">
        <v>25</v>
      </c>
      <c r="F12" s="2">
        <f t="shared" si="0"/>
        <v>25000</v>
      </c>
      <c r="G12" s="4" t="s">
        <v>9</v>
      </c>
    </row>
    <row r="13" spans="2:7" x14ac:dyDescent="0.25">
      <c r="B13" s="2">
        <v>6</v>
      </c>
      <c r="C13" s="4" t="s">
        <v>7</v>
      </c>
      <c r="D13" s="2">
        <v>45000</v>
      </c>
      <c r="E13" s="2">
        <v>10</v>
      </c>
      <c r="F13" s="2">
        <f t="shared" si="0"/>
        <v>450000</v>
      </c>
      <c r="G13" s="4" t="s">
        <v>10</v>
      </c>
    </row>
  </sheetData>
  <mergeCells count="1">
    <mergeCell ref="C3:D3"/>
  </mergeCells>
  <dataValidations count="3">
    <dataValidation type="list" allowBlank="1" showInputMessage="1" showErrorMessage="1" error="Select a valid region" promptTitle="Region" prompt="Select one region" sqref="G11">
      <formula1>"North, South, East, West"</formula1>
    </dataValidation>
    <dataValidation type="list" allowBlank="1" showInputMessage="1" showErrorMessage="1" errorTitle="Region" error="Only valid region allowed" promptTitle="Region" prompt="Select one region" sqref="G9">
      <formula1>"North, South, East, West"</formula1>
    </dataValidation>
    <dataValidation type="list" allowBlank="1" showInputMessage="1" showErrorMessage="1" promptTitle="Region" prompt="Select one region" sqref="G8 G10 G12">
      <formula1>"North, South, East, West"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q</cp:lastModifiedBy>
  <dcterms:created xsi:type="dcterms:W3CDTF">2025-11-25T12:44:09Z</dcterms:created>
  <dcterms:modified xsi:type="dcterms:W3CDTF">2025-12-01T04:07:38Z</dcterms:modified>
</cp:coreProperties>
</file>